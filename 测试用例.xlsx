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压测结果" sheetId="1" r:id="rId3"/>
    <sheet name="测试用例" sheetId="2" r:id="rId4"/>
  </sheets>
  <calcPr fullCalcOnLoad="0"/>
</workbook>
</file>

<file path=xl/sharedStrings.xml><?xml version="1.0" encoding="utf-8"?>
<sst xmlns="http://schemas.openxmlformats.org/spreadsheetml/2006/main" count="113" uniqueCount="113">
  <si>
    <t/>
  </si>
  <si>
    <t>非SDK加密方式</t>
  </si>
  <si>
    <t>开发是否完成</t>
  </si>
  <si>
    <t>加密前</t>
  </si>
  <si>
    <t>加密后</t>
  </si>
  <si>
    <t>测试用例</t>
  </si>
  <si>
    <t>并发数</t>
  </si>
  <si>
    <t>压测时长</t>
  </si>
  <si>
    <t>加密前TPS（/sec）</t>
  </si>
  <si>
    <t>加密前响应时间（ms）</t>
  </si>
  <si>
    <t>加密后TPS(/sec)</t>
  </si>
  <si>
    <t>加密后响应时间（ms）</t>
  </si>
  <si>
    <t>TPS性能损耗</t>
  </si>
  <si>
    <t>响应时延（加密后-加密前）</t>
  </si>
  <si>
    <t>响应时间性能损耗</t>
  </si>
  <si>
    <t>单字段加密单条写入</t>
  </si>
  <si>
    <t>2分钟</t>
  </si>
  <si>
    <t xml:space="preserve"> </t>
  </si>
  <si>
    <t>5分钟</t>
  </si>
  <si>
    <t>单字段加密批量写入</t>
  </si>
  <si>
    <t>多字段加密单条写入</t>
  </si>
  <si>
    <t>单字段加密查询单条记录(不带条件)</t>
  </si>
  <si>
    <t>单字段加密查询1000条(不带条件)</t>
  </si>
  <si>
    <t>单字段加密查询1条记录(带等于)</t>
  </si>
  <si>
    <t>单字段加密查询1000条记录(带等于)</t>
  </si>
  <si>
    <t>多字段加密查询1条记录(带等于多条件)</t>
  </si>
  <si>
    <t>单字段加密查询1条记录(带like)</t>
  </si>
  <si>
    <t>单字段加密查询1000条记录(带like)</t>
  </si>
  <si>
    <t>SDK加密方式</t>
  </si>
  <si>
    <t>加密前TPS</t>
  </si>
  <si>
    <t>加密前响应时间</t>
  </si>
  <si>
    <t>加密后TPS</t>
  </si>
  <si>
    <t>加密后响应时间</t>
  </si>
  <si>
    <t>TPS性能(正表示下降,负表示提升)</t>
  </si>
  <si>
    <t>响应时间性能(正表示提升,负表示下降)</t>
  </si>
  <si>
    <t>cm_indiv_customer_lizw_574</t>
  </si>
  <si>
    <t>gbase8a-UDF加密方式</t>
  </si>
  <si>
    <t>数据量(条)</t>
  </si>
  <si>
    <t>不加密写入时长（ms）</t>
  </si>
  <si>
    <t>加解密写入时长（ms）</t>
  </si>
  <si>
    <t>性能损耗（ms）</t>
  </si>
  <si>
    <t>性能损耗比例</t>
  </si>
  <si>
    <t>加密测试（4字段）</t>
  </si>
  <si>
    <t>解密测试（4字段）</t>
  </si>
  <si>
    <t>模糊加密测试（4字段）</t>
  </si>
  <si>
    <t>模糊加密解密（4字段）</t>
  </si>
  <si>
    <t>业务场景多字段插入</t>
  </si>
  <si>
    <t>序号</t>
  </si>
  <si>
    <t>案例类型</t>
  </si>
  <si>
    <t>案例名称</t>
  </si>
  <si>
    <t>调用url</t>
  </si>
  <si>
    <t>SDK调用url</t>
  </si>
  <si>
    <t>入参报文</t>
  </si>
  <si>
    <t>配置项</t>
  </si>
  <si>
    <t>写入</t>
  </si>
  <si>
    <t>单字段单条加密写入性能</t>
  </si>
  <si>
    <t>http://20.26.113.123:8080/dev/SecurityTest/insertone</t>
  </si>
  <si>
    <t>http://20.26.113.123:8080/dev/SecuritySDKTest/insertIndivCustOneColumn</t>
  </si>
  <si>
    <t>{"indivCustId":2163139875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</t>
  </si>
  <si>
    <t>测试时需要临时替换
db458909bea9299c725a065a34b2139a5c45627345bd91ef8be65e77edc82a611ab7ffc8caeffff826c01e5b4fef658f426bd4ad65dda6a6f263f256f3a8e8bd3b025ef601ca62f89d981fac09298e0ea72bb87ed8d60469e2ef684cdcbcc5b9b73d03096b3a2dd9d09a29efc64d6548ebbe786a68a52d5214d37d8bd4c006b20b541c6616121d72275e2ecdc9f016879ff3653c453a1d77eb4fcac3d468e1faf49327e29943bfde07729882491f4eb3bf3be7b32a7d60cf4f5263ad0d74ae074f099d55460e95969aa02f8f5aa921ba00ac2a06f1ae8a234ac4dd81df7a7d0cc845d0de7e5dae692069229d84cec9e5ddba6d3e98c125c57782b4b982b11df05218570e2e6dd9dd1bb76a230f6b0443fa08772079265e58fa70c862fee6713d563277157d6e5cc9ba6580411cb39035f033f3242e4dc6ad5cf4ea7b4eb33b34f980303536679445d8da7bbb411014d8c99f0aea0f04ae7aa091149bf9e7760ea5fd715a0f379f6dedd169515630ada3d541c48159f2ced3d830c43f9204fb270552b590e622e36796c0f5b374cac4c94402610dcd30e45d82e6e79d5392ddc57ed00bd177866341120d90a99e7edda093ecbf7532e22584b8ccedc143d67aa03cf73140fa38a0f5fb02e267c7d4b96042cf9a82968f998279a3323f00e2dbc2aa9b2360dd0c2de5</t>
  </si>
  <si>
    <t>多字段单条加密写入性能</t>
  </si>
  <si>
    <t>http://20.26.113.123:8080/dev/SecuritySDKTest/insertone</t>
  </si>
  <si>
    <t>db458909bea9299c725a065a34b2139a5c45627345bd91ef8be65e77edc82a611ab7ffc8caeffff826c01e5b4fef658f426bd4ad65dda6a6f263f256f3a8e8bd3b025ef601ca62f89d981fac09298e0ea72bb87ed8d60469e2ef684cdcbcc5b9b73d03096b3a2dd9d09a29efc64d6548ebbe786a68a52d5214d37d8bd4c006b20b541c6616121d72275e2ecdc9f016879ff3653c453a1d77eb4fcac3d468e1faf49327e29943bfde07729882491f4eb3bf3be7b32a7d60cf4f5263ad0d74ae074f099d55460e95969aa02f8f5aa921ba00ac2a06f1ae8a234ac4dd81df7a7d0cc845d0de7e5dae692069229d84cec9e5ddba6d3e98c125c57782b4b982b11df05218570e2e6dd9dd1bb76a230f6b0443fa08772079265e58fa70c862fee6713d563277157d6e5cc9ba6580411cb39035f033f3242e4dc6ad5cf4ea7b4eb33b34f980303536679445d8da7bbb411014d8c99f0aea0f04ae7aa091149bf9e7760ea5fd715a0f379f6dedd169515630ada3d541c48159f2ced3d830c43f9204fb2726c956ae43469b824a6c425f7f361795cd0949b85e02804250ad36ae54cb1f6ad830c43f9204fb2759c4b35d439c9390fb65f1041cee94844371f5c65266cf1bff105c5b1464b888b5d110daad9ff0f6decde454b8eeb327d28a358de094a9c5fa08772079265e5806f87996b84059194834c828e9bb916c50db51b3860cd8b10fcf8f992663816b</t>
  </si>
  <si>
    <t>单字段批量加密写入性能</t>
  </si>
  <si>
    <t>http://20.26.113.123:8081/dev/SecurityTest/insertBatch</t>
  </si>
  <si>
    <t>http://20.26.113.123:8081/dev/SecuritySDKTest/insertBatch</t>
  </si>
  <si>
    <t>[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1,"custCertCode":"330781198805110717","custCertAddress":"广东省博罗县湖镇镇钓湖村委会钓湖小组","custCertExpire":"2010-01-07","gender":3,"lunar":0,"birthday":"2025-10-14","occupation":9,"realNameFlag":10,"contractNo":null,"characterDesc":null,"marryStatus":0,"vipNo":null,"allowAgent":0,"adminFamilyId":0,"entryChnl":0,"state":"U","createOpId":null,"createOrgId":10163073,"opId":0,"orgId":10163073,"doneCode":105976899396,"createDate":"2010-01-07","doneDate":"2010-01-07","effectiveDate":"2010-01-07","expireDate":"2099-12-31","regionId":"574","countyId":"5743","notes":"胡娜琼0430011263","oldCustType":2,"custModifyDate":"2099-12-31","uniCustId":null,"uniPartyId":null},
{"indivCustId":1030404700,"baseCustId":2163139870,"custName":"慈想想","custStatus":2,"custZipcode":null,"custAddress":"广东省博罗县湖镇镇钓湖村委会钓湖小组","custLevel":4,"custCertType":</t>
  </si>
  <si>
    <t>查询</t>
  </si>
  <si>
    <t>不带条件返回单条单加密字段查询</t>
  </si>
  <si>
    <t>http://20.26.113.123:8081/dev/SecurityTest/getCustomerColumnLimitOne</t>
  </si>
  <si>
    <t>http://20.26.113.123:8081/dev/SecuritySDKTest/getCustomerColumnLimitOne</t>
  </si>
  <si>
    <t>不带条件返回1000条单加密字段查询</t>
  </si>
  <si>
    <t>http://20.26.113.123:8081/dev/SecurityTest/getCustomerColumnLimit1k</t>
  </si>
  <si>
    <t>http://20.26.113.123:8081/dev/SecuritySDKTest/getCustomerColumnLimit1k</t>
  </si>
  <si>
    <t>带等于单加密字段条件返回1条数据查询性能</t>
  </si>
  <si>
    <t>http://20.26.113.123:8080/dev/SecurityTest/getOneByCustName</t>
  </si>
  <si>
    <t>http://20.26.113.123:8080/dev/SecuritySDKTest/getOneByCustName</t>
  </si>
  <si>
    <t>{"custName":"慈想想"}</t>
  </si>
  <si>
    <t>数据库预插入100W数据</t>
  </si>
  <si>
    <t>带等于单加密字段条件返回1000条数据查询性能</t>
  </si>
  <si>
    <t>http://20.26.113.123:8080/dev/SecurityTest/getCustomerLimit1kByCustName</t>
  </si>
  <si>
    <t>http://20.26.113.123:8080/dev/SecuritySDKTest/getCustomerLimit1kByCustName</t>
  </si>
  <si>
    <t>带等于多加密字段条件返回单条数据查询性能</t>
  </si>
  <si>
    <t>http://20.26.113.123:8080/dev/SecurityTest/getOneByCustNameAndCertCode</t>
  </si>
  <si>
    <t>http://20.26.113.123:8080/dev/SecuritySDKTest/getOneByCustNameAndCertCode</t>
  </si>
  <si>
    <t>{"custName":"慈想想","custCertCode":"330781198805110717"}</t>
  </si>
  <si>
    <t>模糊查询单字段匹配加密字段返回1条数据查询性能</t>
  </si>
  <si>
    <t>http://20.26.113.123:8080/dev/SecurityTest/getOneByCustNameLike</t>
  </si>
  <si>
    <t>http://20.26.113.123:8080/dev/SecuritySDKTest/getOneByCustNameLike</t>
  </si>
  <si>
    <t>{"custName":"慈想"}</t>
  </si>
  <si>
    <t>db458909bea9299c725a065a34b2139a5c45627345bd91ef8be65e77edc82a611ab7ffc8caeffff826c01e5b4fef658f426bd4ad65dda6a6f263f256f3a8e8bd3b025ef601ca62f89d981fac09298e0ea72bb87ed8d60469e2ef684cdcbcc5b9b73d03096b3a2dd9d09a29efc64d6548ebbe786a68a52d5214d37d8bd4c006b20b541c6616121d72275e2ecdc9f016879ff3653c453a1d77eb4fcac3d468e1faf49327e29943bfde07729882491f4eb3bf3be7b32a7d60cf4f5263ad0d74ae074f099d55460e95969aa02f8f5aa921ba00ac2a06f1ae8a234ac4dd81df7a7d0cc845d0de7e5dae692069229d84cec9e5ddba6d3e98c125c57782b4b982b11df05218570e2e6dd9dd1bb76a230f6b0443fa08772079265e58fa70c862fee6713d563277157d6e5cc9ba6580411cb39035f033f3242e4dc6ad5cf4ea7b4eb33b34f980303536679445d8da7bbb411014d8c99f0aea0f04ae7aa091149bf9e7760ea5fd715a0f379f6dedd169515630ada3d541c48159f2ced3d830c43f9204fb270552b590e622e36796c0f5b374cac4c94402610dcd30e45d82e6e79d5392ddc57ed00bd177866341120d90a99e7edda093ecbf7532e22584b8ccedc143d67aa03cf73140fa38a0f5fb02e267c7d4b96042cf9a82968f998279a3323f00e2dbc2aa9b2360dd0c2de5</t>
  </si>
  <si>
    <t>模糊查询单字段匹配加密字段返回1000条数据查询性能</t>
  </si>
  <si>
    <t>http://20.26.113.123:8080/dev/SecurityTest/getCustomerLimit1kByCustNameLike</t>
  </si>
  <si>
    <t>http://20.26.113.123:8080/dev/SecuritySDKTest/getCustomerLimit1kByCustNameLike</t>
  </si>
  <si>
    <t>http://20.26.113.123:8080/dev/SecurityTest/getOneByPhoneNumber</t>
  </si>
  <si>
    <t>http://20.26.113.123:8080/dev/SecuritySDKTest/getOneByPhoneNumber</t>
  </si>
  <si>
    <t>http://20.26.113.123:8080/dev/SecurityTest/getCustomerLimit1kByPhoneNumber</t>
  </si>
  <si>
    <t>http://20.26.113.123:8080/dev/SecuritySDKTest/getCustomerLimit1kByPhoneNumber</t>
  </si>
  <si>
    <t>http://20.26.113.123:8080/dev/SecurityTest/getOneByFourColumn</t>
  </si>
  <si>
    <t>http://20.26.113.123:8080/dev/SecuritySDKTest/getOneByFourColumn</t>
  </si>
  <si>
    <t>http://20.26.113.123:8080/dev/SecurityTest/getOneByCustAddressLike</t>
  </si>
  <si>
    <t>http://20.26.113.123:8080/dev/SecuritySDKTest/getOneByCustAddressLike</t>
  </si>
  <si>
    <t>http://20.26.113.123:8080/dev/SecurityTest/getCustomerLimit1kByCustAddresseLike</t>
  </si>
  <si>
    <t>http://20.26.113.123:8080/dev/SecuritySDKTest/getCustomerLimit1kByCustAddresseLike</t>
  </si>
  <si>
    <t>{"indivCustId":7420809079,"baseCustId":7420809079,"custName":"齐小娟","custAddress":"浙江省杭州市西湖区文一路 25号九莲新村1 幢4 单元501室住宅","custCertType":1,"custCertCode":"41292197502017020666","custCertAddress":"浙江省杭州市西湖区文一路 25号九莲新村1 幢4 单元501室住宅","state":"U","doneCode":102163441727,"doneDate":"2015-08-25","effectiveDate":"2015-08-25","expireDate":"2099-12-31","regionId":"574","countyId":"5741","phoneNumber":"15158130162"}</t>
  </si>
  <si>
    <t>[</t>
  </si>
  <si>
    <t>]</t>
  </si>
  <si>
    <t>[
{"indivCustId":7420809079,"baseCustId":7420809079,"custName":"齐小娟","custAddress":"浙江省杭州市西湖区文一路 25号九莲新村1 幢4 单元501室住宅","custCertType":1,"custCertCode":"41292197502017020666","custCertAddress":"浙江省杭州市西湖区文一路 25号九莲新村1 幢4 单元501室住宅","state":"U","doneCode":102163441727,"doneDate":"2015-08-25","effectiveDate":"2015-08-25","expireDate":"2099-12-31","regionId":"574","countyId":"5741","phoneNumber":"15158130162"}
]</t>
  </si>
  <si>
    <t>{"phoneNumber":"15158130162"}</t>
  </si>
  <si>
    <t>{"phoneNumber":"15158130162","custCertCode":"330781198805110717"}</t>
  </si>
  <si>
    <t>{"custName":"齐小娟","custAddress":"浙江省杭州市西湖区文一路 25号九莲新村1 幢4 单元501室住宅","phoneNumber":"15158130162","custCertCode":"41292197502017020666"}</t>
  </si>
  <si>
    <t>{"custAddress":"慈想"}</t>
  </si>
  <si>
    <t>{"custAddress":"浙江省杭州市西湖区文一路 "}</t>
  </si>
</sst>
</file>

<file path=xl/styles.xml><?xml version="1.0" encoding="utf-8"?>
<styleSheet xmlns="http://schemas.openxmlformats.org/spreadsheetml/2006/main">
  <numFmts count="2">
    <numFmt numFmtId="300" formatCode="#,##0.00_ "/>
    <numFmt numFmtId="301" formatCode="0.00%"/>
  </numFmts>
  <fonts count="9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</font>
    <font>
      <name val="宋体"/>
      <sz val="11"/>
    </font>
    <font>
      <name val="仿宋"/>
      <sz val="12"/>
    </font>
    <font>
      <sz val="10"/>
    </font>
    <font>
      <name val="宋体"/>
    </font>
    <font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8CDDFA"/>
      </patternFill>
    </fill>
    <fill>
      <patternFill patternType="solid">
        <fgColor rgb="FF8CDDFA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fontId="8" fillId="0" borderId="0" xfId="0" applyNumberFormat="1" applyFont="1" applyFill="1" applyBorder="1" applyAlignment="1">
      <alignment vertical="center"/>
    </xf>
  </cellStyleXfs>
  <cellXfs count="3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/>
    </xf>
    <xf fontId="0" fillId="0" borderId="1" xfId="0">
      <alignment vertical="center"/>
    </xf>
    <xf fontId="3" fillId="3" borderId="1" xfId="0">
      <alignment horizontal="center" vertical="center"/>
    </xf>
    <xf fontId="3" fillId="2" borderId="1" xfId="0">
      <alignment vertical="center"/>
    </xf>
    <xf numFmtId="68" fontId="3" fillId="2" borderId="1" xfId="0">
      <alignment vertical="center" wrapText="1"/>
    </xf>
    <xf numFmtId="300" fontId="3" fillId="2" borderId="1" xfId="0">
      <alignment vertical="center" wrapText="1"/>
    </xf>
    <xf fontId="0" fillId="0" borderId="2" xfId="0">
      <alignment vertical="center"/>
    </xf>
    <xf fontId="0" fillId="0" borderId="1" xfId="0">
      <alignment horizontal="center" vertical="center"/>
    </xf>
    <xf numFmtId="68" fontId="0" fillId="0" borderId="1" xfId="0">
      <alignment horizontal="center" vertical="center"/>
    </xf>
    <xf numFmtId="300" fontId="0" fillId="0" borderId="1" xfId="0">
      <alignment horizontal="center" vertical="center"/>
    </xf>
    <xf fontId="0" fillId="0" borderId="3" xfId="0">
      <alignment vertical="center"/>
    </xf>
    <xf fontId="0" fillId="0" borderId="4" xfId="0">
      <alignment vertical="center"/>
    </xf>
    <xf fontId="0" fillId="0" borderId="5" xfId="0">
      <alignment vertical="center"/>
    </xf>
    <xf fontId="3" fillId="2" borderId="2" xfId="0">
      <alignment vertical="center"/>
    </xf>
    <xf numFmtId="68" fontId="3" fillId="2" borderId="2" xfId="0">
      <alignment vertical="center" wrapText="1"/>
    </xf>
    <xf numFmtId="300" fontId="3" fillId="2" borderId="2" xfId="0">
      <alignment vertical="center" wrapText="1"/>
    </xf>
    <xf numFmtId="68" fontId="0" fillId="0" borderId="1" xfId="0">
      <alignment vertical="center"/>
    </xf>
    <xf numFmtId="300" fontId="0" fillId="0" borderId="1" xfId="0">
      <alignment vertical="center"/>
    </xf>
    <xf numFmtId="0" fontId="0" fillId="0" borderId="1" xfId="0">
      <alignment vertical="center"/>
    </xf>
    <xf fontId="3" fillId="2" borderId="2" xfId="0">
      <alignment horizontal="center" vertical="center"/>
    </xf>
    <xf numFmtId="0" fontId="0" fillId="0" borderId="1" xfId="0">
      <alignment horizontal="center" vertical="center"/>
    </xf>
    <xf fontId="4" fillId="0" borderId="0" xfId="0">
      <alignment vertical="center" textRotation="0" wrapText="1"/>
    </xf>
    <xf fontId="5" fillId="0" borderId="0" xfId="0">
      <alignment vertical="center" textRotation="0" wrapText="1"/>
    </xf>
    <xf numFmtId="0" fontId="4" fillId="0" borderId="0" xfId="0">
      <alignment vertical="center" textRotation="0" wrapText="1"/>
    </xf>
    <xf fontId="4" fillId="0" borderId="0" xfId="0">
      <alignment vertical="center" textRotation="0" wrapText="1"/>
    </xf>
    <xf fontId="0" fillId="0" borderId="0" xfId="0">
      <alignment vertical="center" wrapText="1"/>
    </xf>
    <xf fontId="6" fillId="0" borderId="0" xfId="0">
      <alignment vertical="center"/>
    </xf>
    <xf fontId="7" fillId="0" borderId="0" xfId="0">
      <alignment vertical="center" textRotation="0" wrapText="1"/>
    </xf>
    <xf fontId="0" fillId="0" borderId="0" xfId="0">
      <alignment horizontal="center" vertical="center"/>
    </xf>
    <xf numFmtId="0" fontId="0" fillId="0" borderId="0" xfId="0">
      <alignment vertical="center" wrapText="1"/>
    </xf>
    <xf numFmtId="301" fontId="0" fillId="0" borderId="0" xfId="0">
      <alignment vertical="center"/>
    </xf>
    <xf numFmtId="300" fontId="0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9" Type="http://schemas.openxmlformats.org/officeDocument/2006/relationships/image" Target="media/image10.png" /><Relationship Id="rId5" Type="http://schemas.openxmlformats.org/officeDocument/2006/relationships/image" Target="media/image6.png" /><Relationship Id="rId26" Type="http://schemas.openxmlformats.org/officeDocument/2006/relationships/image" Target="media/image27.png" /><Relationship Id="rId25" Type="http://schemas.openxmlformats.org/officeDocument/2006/relationships/image" Target="media/image26.png" /><Relationship Id="rId24" Type="http://schemas.openxmlformats.org/officeDocument/2006/relationships/image" Target="media/image25.png" /><Relationship Id="rId11" Type="http://schemas.openxmlformats.org/officeDocument/2006/relationships/image" Target="media/image12.png" /><Relationship Id="rId4" Type="http://schemas.openxmlformats.org/officeDocument/2006/relationships/image" Target="media/image5.png" /><Relationship Id="rId10" Type="http://schemas.openxmlformats.org/officeDocument/2006/relationships/image" Target="media/image11.png" /><Relationship Id="rId16" Type="http://schemas.openxmlformats.org/officeDocument/2006/relationships/image" Target="media/image17.png" /><Relationship Id="rId19" Type="http://schemas.openxmlformats.org/officeDocument/2006/relationships/image" Target="media/image20.png" /><Relationship Id="rId7" Type="http://schemas.openxmlformats.org/officeDocument/2006/relationships/image" Target="media/image8.png" /><Relationship Id="rId12" Type="http://schemas.openxmlformats.org/officeDocument/2006/relationships/image" Target="media/image13.png" /><Relationship Id="rId0" Type="http://schemas.openxmlformats.org/officeDocument/2006/relationships/image" Target="media/image1.png" /><Relationship Id="rId13" Type="http://schemas.openxmlformats.org/officeDocument/2006/relationships/image" Target="media/image14.png" /><Relationship Id="rId1" Type="http://schemas.openxmlformats.org/officeDocument/2006/relationships/image" Target="media/image2.png" /><Relationship Id="rId3" Type="http://schemas.openxmlformats.org/officeDocument/2006/relationships/image" Target="media/image4.png" /><Relationship Id="rId14" Type="http://schemas.openxmlformats.org/officeDocument/2006/relationships/image" Target="media/image15.png" /><Relationship Id="rId23" Type="http://schemas.openxmlformats.org/officeDocument/2006/relationships/image" Target="media/image24.png" /><Relationship Id="rId20" Type="http://schemas.openxmlformats.org/officeDocument/2006/relationships/image" Target="media/image21.png" /><Relationship Id="rId22" Type="http://schemas.openxmlformats.org/officeDocument/2006/relationships/image" Target="media/image23.png" /><Relationship Id="rId8" Type="http://schemas.openxmlformats.org/officeDocument/2006/relationships/image" Target="media/image9.png" /><Relationship Id="rId6" Type="http://schemas.openxmlformats.org/officeDocument/2006/relationships/image" Target="media/image7.png" /><Relationship Id="rId17" Type="http://schemas.openxmlformats.org/officeDocument/2006/relationships/image" Target="media/image18.png" /><Relationship Id="rId18" Type="http://schemas.openxmlformats.org/officeDocument/2006/relationships/image" Target="media/image19.png" /><Relationship Id="rId15" Type="http://schemas.openxmlformats.org/officeDocument/2006/relationships/image" Target="media/image16.png" /><Relationship Id="rId2" Type="http://schemas.openxmlformats.org/officeDocument/2006/relationships/image" Target="media/image3.png" /><Relationship Id="rId21" Type="http://schemas.openxmlformats.org/officeDocument/2006/relationships/image" Target="media/image22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11</xdr:col>
      <xdr:colOff>0</xdr:colOff>
      <xdr:row>2</xdr:row>
      <xdr:rowOff>292257</xdr:rowOff>
    </xdr:from>
    <xdr:ext cx="581025" cy="25086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3</xdr:row>
      <xdr:rowOff>289165</xdr:rowOff>
    </xdr:from>
    <xdr:ext cx="581025" cy="31269"/>
    <xdr:pic>
      <xdr:nvPicPr>
        <xdr:cNvPr id="2" name="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5</xdr:row>
      <xdr:rowOff>291546</xdr:rowOff>
    </xdr:from>
    <xdr:ext cx="581025" cy="26508"/>
    <xdr:pic>
      <xdr:nvPicPr>
        <xdr:cNvPr id="3" name="3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6</xdr:row>
      <xdr:rowOff>291259</xdr:rowOff>
    </xdr:from>
    <xdr:ext cx="581025" cy="27081"/>
    <xdr:pic>
      <xdr:nvPicPr>
        <xdr:cNvPr id="4" name="4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8</xdr:row>
      <xdr:rowOff>213864</xdr:rowOff>
    </xdr:from>
    <xdr:ext cx="581025" cy="29472"/>
    <xdr:pic>
      <xdr:nvPicPr>
        <xdr:cNvPr id="5" name="5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9</xdr:row>
      <xdr:rowOff>290005</xdr:rowOff>
    </xdr:from>
    <xdr:ext cx="581025" cy="29590"/>
    <xdr:pic>
      <xdr:nvPicPr>
        <xdr:cNvPr id="6" name="6"/>
        <xdr:cNvPicPr/>
      </xdr:nvPicPr>
      <xdr:blipFill>
        <a:blip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9</xdr:row>
      <xdr:rowOff>286520</xdr:rowOff>
    </xdr:from>
    <xdr:ext cx="581025" cy="36559"/>
    <xdr:pic>
      <xdr:nvPicPr>
        <xdr:cNvPr id="7" name="7"/>
        <xdr:cNvPicPr/>
      </xdr:nvPicPr>
      <xdr:blipFill>
        <a:blip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10</xdr:row>
      <xdr:rowOff>89149</xdr:rowOff>
    </xdr:from>
    <xdr:ext cx="581025" cy="24901"/>
    <xdr:pic>
      <xdr:nvPicPr>
        <xdr:cNvPr id="8" name="8"/>
        <xdr:cNvPicPr/>
      </xdr:nvPicPr>
      <xdr:blipFill>
        <a:blip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11</xdr:row>
      <xdr:rowOff>86318</xdr:rowOff>
    </xdr:from>
    <xdr:ext cx="581025" cy="30564"/>
    <xdr:pic>
      <xdr:nvPicPr>
        <xdr:cNvPr id="9" name="9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11</xdr:row>
      <xdr:rowOff>86114</xdr:rowOff>
    </xdr:from>
    <xdr:ext cx="581025" cy="30971"/>
    <xdr:pic>
      <xdr:nvPicPr>
        <xdr:cNvPr id="10" name="10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14</xdr:row>
      <xdr:rowOff>81195</xdr:rowOff>
    </xdr:from>
    <xdr:ext cx="581025" cy="40810"/>
    <xdr:pic>
      <xdr:nvPicPr>
        <xdr:cNvPr id="11" name="11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14</xdr:row>
      <xdr:rowOff>87714</xdr:rowOff>
    </xdr:from>
    <xdr:ext cx="581025" cy="27771"/>
    <xdr:pic>
      <xdr:nvPicPr>
        <xdr:cNvPr id="12" name="12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15</xdr:row>
      <xdr:rowOff>86286</xdr:rowOff>
    </xdr:from>
    <xdr:ext cx="581025" cy="30628"/>
    <xdr:pic>
      <xdr:nvPicPr>
        <xdr:cNvPr id="13" name="13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16</xdr:row>
      <xdr:rowOff>90165</xdr:rowOff>
    </xdr:from>
    <xdr:ext cx="581025" cy="22870"/>
    <xdr:pic>
      <xdr:nvPicPr>
        <xdr:cNvPr id="14" name="14"/>
        <xdr:cNvPicPr/>
      </xdr:nvPicPr>
      <xdr:blipFill>
        <a:blip r:embed="rId13" r:link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16</xdr:row>
      <xdr:rowOff>87854</xdr:rowOff>
    </xdr:from>
    <xdr:ext cx="581025" cy="27491"/>
    <xdr:pic>
      <xdr:nvPicPr>
        <xdr:cNvPr id="15" name="15"/>
        <xdr:cNvPicPr/>
      </xdr:nvPicPr>
      <xdr:blipFill>
        <a:blip r:embed="rId14" r:link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17</xdr:row>
      <xdr:rowOff>84202</xdr:rowOff>
    </xdr:from>
    <xdr:ext cx="581025" cy="34795"/>
    <xdr:pic>
      <xdr:nvPicPr>
        <xdr:cNvPr id="16" name="16"/>
        <xdr:cNvPicPr/>
      </xdr:nvPicPr>
      <xdr:blipFill>
        <a:blip r:embed="rId15" r:link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17</xdr:row>
      <xdr:rowOff>89708</xdr:rowOff>
    </xdr:from>
    <xdr:ext cx="581025" cy="23784"/>
    <xdr:pic>
      <xdr:nvPicPr>
        <xdr:cNvPr id="17" name="17"/>
        <xdr:cNvPicPr/>
      </xdr:nvPicPr>
      <xdr:blipFill>
        <a:blip r:embed="rId16" r:link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18</xdr:row>
      <xdr:rowOff>86037</xdr:rowOff>
    </xdr:from>
    <xdr:ext cx="581025" cy="31126"/>
    <xdr:pic>
      <xdr:nvPicPr>
        <xdr:cNvPr id="18" name="18"/>
        <xdr:cNvPicPr/>
      </xdr:nvPicPr>
      <xdr:blipFill>
        <a:blip r:embed="rId17" r:link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18</xdr:row>
      <xdr:rowOff>89023</xdr:rowOff>
    </xdr:from>
    <xdr:ext cx="581025" cy="25153"/>
    <xdr:pic>
      <xdr:nvPicPr>
        <xdr:cNvPr id="19" name="19"/>
        <xdr:cNvPicPr/>
      </xdr:nvPicPr>
      <xdr:blipFill>
        <a:blip r:embed="rId18" r:link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19</xdr:row>
      <xdr:rowOff>87165</xdr:rowOff>
    </xdr:from>
    <xdr:ext cx="581025" cy="28870"/>
    <xdr:pic>
      <xdr:nvPicPr>
        <xdr:cNvPr id="20" name="20"/>
        <xdr:cNvPicPr/>
      </xdr:nvPicPr>
      <xdr:blipFill>
        <a:blip r:embed="rId19" r:link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19</xdr:row>
      <xdr:rowOff>85066</xdr:rowOff>
    </xdr:from>
    <xdr:ext cx="581025" cy="33068"/>
    <xdr:pic>
      <xdr:nvPicPr>
        <xdr:cNvPr id="21" name="21"/>
        <xdr:cNvPicPr/>
      </xdr:nvPicPr>
      <xdr:blipFill>
        <a:blip r:embed="rId20" r:link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20</xdr:row>
      <xdr:rowOff>82902</xdr:rowOff>
    </xdr:from>
    <xdr:ext cx="581025" cy="37395"/>
    <xdr:pic>
      <xdr:nvPicPr>
        <xdr:cNvPr id="22" name="22"/>
        <xdr:cNvPicPr/>
      </xdr:nvPicPr>
      <xdr:blipFill>
        <a:blip r:embed="rId21" r:link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20</xdr:row>
      <xdr:rowOff>84574</xdr:rowOff>
    </xdr:from>
    <xdr:ext cx="581025" cy="34052"/>
    <xdr:pic>
      <xdr:nvPicPr>
        <xdr:cNvPr id="23" name="23"/>
        <xdr:cNvPicPr/>
      </xdr:nvPicPr>
      <xdr:blipFill>
        <a:blip r:embed="rId22" r:link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21</xdr:row>
      <xdr:rowOff>85667</xdr:rowOff>
    </xdr:from>
    <xdr:ext cx="581025" cy="31866"/>
    <xdr:pic>
      <xdr:nvPicPr>
        <xdr:cNvPr id="24" name="24"/>
        <xdr:cNvPicPr/>
      </xdr:nvPicPr>
      <xdr:blipFill>
        <a:blip r:embed="rId23" r:link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21</xdr:row>
      <xdr:rowOff>85880</xdr:rowOff>
    </xdr:from>
    <xdr:ext cx="581025" cy="31440"/>
    <xdr:pic>
      <xdr:nvPicPr>
        <xdr:cNvPr id="25" name="25"/>
        <xdr:cNvPicPr/>
      </xdr:nvPicPr>
      <xdr:blipFill>
        <a:blip r:embed="rId24" r:link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22</xdr:row>
      <xdr:rowOff>85004</xdr:rowOff>
    </xdr:from>
    <xdr:ext cx="581025" cy="33192"/>
    <xdr:pic>
      <xdr:nvPicPr>
        <xdr:cNvPr id="26" name="26"/>
        <xdr:cNvPicPr/>
      </xdr:nvPicPr>
      <xdr:blipFill>
        <a:blip r:embed="rId25" r:link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22</xdr:row>
      <xdr:rowOff>84142</xdr:rowOff>
    </xdr:from>
    <xdr:ext cx="581025" cy="34916"/>
    <xdr:pic>
      <xdr:nvPicPr>
        <xdr:cNvPr id="27" name="27"/>
        <xdr:cNvPicPr/>
      </xdr:nvPicPr>
      <xdr:blipFill>
        <a:blip r:embed="rId26" r:link="rId26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压测结果">
    <tabColor/>
  </sheetPr>
  <dimension ref="G53"/>
  <sheetViews>
    <sheetView showGridLines="1" rightToLeft="0" workbookViewId="0">
      <pane ySplit="2" topLeftCell="A3" state="frozen"/>
    </sheetView>
  </sheetViews>
  <sheetFormatPr baseColWidth="13" defaultRowHeight="18" customHeight="1"/>
  <cols>
    <col min="1" max="1" width="43.0312" customWidth="1"/>
    <col min="3" max="3" width="18.7539" customWidth="1"/>
    <col min="4" max="4" width="20.2344" customWidth="1"/>
    <col min="5" max="5" width="13.8008" customWidth="1"/>
    <col min="6" max="6" width="14.8008" customWidth="1"/>
    <col min="7" max="7" width="19.9922" customWidth="1"/>
    <col min="8" max="8" width="14.3008" style="34" customWidth="1"/>
    <col min="9" max="9" width="13.6719" style="35"/>
    <col min="10" max="10" width="13.6719" style="34"/>
  </cols>
  <sheetData>
    <row r="1" spans="1:13">
      <c r="A1" s="4" t="s">
        <v>1</v>
      </c>
      <c r="B1" s="5" t="s"/>
      <c r="C1" s="5" t="s"/>
      <c r="D1" s="5" t="s"/>
      <c r="E1" s="5" t="s"/>
      <c r="F1" s="5" t="s"/>
      <c r="G1" s="5" t="s"/>
      <c r="H1" s="5" t="s"/>
      <c r="I1" s="6" t="s"/>
      <c r="J1" s="5" t="s"/>
      <c r="K1" t="s">
        <v>2</v>
      </c>
      <c r="L1" t="s">
        <v>3</v>
      </c>
      <c r="M1" t="s">
        <v>4</v>
      </c>
    </row>
    <row r="2" spans="1:10">
      <c r="A2" s="7" t="s">
        <v>5</v>
      </c>
      <c r="B2" s="7" t="s">
        <v>6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8" t="s">
        <v>12</v>
      </c>
      <c r="I2" s="9" t="s">
        <v>13</v>
      </c>
      <c r="J2" s="8" t="s">
        <v>14</v>
      </c>
    </row>
    <row r="3" spans="1:12" ht="48" customHeight="1">
      <c r="A3" s="10" t="s">
        <v>15</v>
      </c>
      <c r="B3" s="11">
        <v>5</v>
      </c>
      <c r="C3" s="11" t="s">
        <v>16</v>
      </c>
      <c r="D3" s="11">
        <v>85.2</v>
      </c>
      <c r="E3" s="11">
        <v>57</v>
      </c>
      <c r="F3" s="11">
        <v>80.3</v>
      </c>
      <c r="G3" s="11">
        <v>61</v>
      </c>
      <c r="H3" s="12">
        <f>=(D3-F3)/D3</f>
        <v>0.057511737089202</v>
      </c>
      <c r="I3" s="13">
        <f>=G3-E3</f>
        <v>4</v>
      </c>
      <c r="J3" s="12">
        <f>=(G3-E3)/E3</f>
        <v>0.0701754385964912</v>
      </c>
      <c r="L3" t="s"/>
    </row>
    <row r="4" spans="1:12" ht="48" customHeight="1">
      <c r="A4" s="14" t="s"/>
      <c r="B4" s="11">
        <v>16</v>
      </c>
      <c r="C4" s="11" t="s">
        <v>16</v>
      </c>
      <c r="D4" s="11">
        <v>255.9</v>
      </c>
      <c r="E4" s="11">
        <v>61</v>
      </c>
      <c r="F4" s="11">
        <v>243.6</v>
      </c>
      <c r="G4" s="11">
        <v>64</v>
      </c>
      <c r="H4" s="12">
        <f>=(D4-F4)/D4</f>
        <v>0.0480656506447832</v>
      </c>
      <c r="I4" s="13">
        <f>=G4-E4</f>
        <v>3</v>
      </c>
      <c r="J4" s="12">
        <f>=(G4-E4)/E4</f>
        <v>0.0491803278688525</v>
      </c>
      <c r="L4" t="s"/>
    </row>
    <row r="5" spans="1:10" ht="48" customHeight="1">
      <c r="A5" s="14" t="s"/>
      <c r="B5" s="11">
        <v>16</v>
      </c>
      <c r="C5" s="11" t="s">
        <v>18</v>
      </c>
      <c r="D5" s="11">
        <v>263.9</v>
      </c>
      <c r="E5" s="11">
        <v>59</v>
      </c>
      <c r="F5" s="11">
        <v>246.6</v>
      </c>
      <c r="G5" s="11">
        <v>64</v>
      </c>
      <c r="H5" s="12">
        <f>=(D5-F5)/D5</f>
        <v>0.0655551345206517</v>
      </c>
      <c r="I5" s="13">
        <f>=G5-E5</f>
        <v>5</v>
      </c>
      <c r="J5" s="12">
        <f>=(G5-E5)/E5</f>
        <v>0.0847457627118644</v>
      </c>
    </row>
    <row r="6" spans="1:13" ht="48" customHeight="1">
      <c r="A6" s="14" t="s"/>
      <c r="B6" s="11">
        <v>30</v>
      </c>
      <c r="C6" s="11" t="s">
        <v>16</v>
      </c>
      <c r="D6" s="11">
        <v>435.1</v>
      </c>
      <c r="E6" s="11">
        <v>67</v>
      </c>
      <c r="F6" s="11">
        <v>396.3</v>
      </c>
      <c r="G6" s="11">
        <v>73</v>
      </c>
      <c r="H6" s="12">
        <f>=(D6-F6)/D6</f>
        <v>0.0891749023213055</v>
      </c>
      <c r="I6" s="13">
        <f>=G6-E6</f>
        <v>6</v>
      </c>
      <c r="J6" s="12">
        <f>=(G6-E6)/E6</f>
        <v>0.0895522388059702</v>
      </c>
      <c r="M6" t="s"/>
    </row>
    <row r="7" spans="1:13" ht="48" customHeight="1">
      <c r="A7" s="14" t="s"/>
      <c r="B7" s="11">
        <v>50</v>
      </c>
      <c r="C7" s="11" t="s">
        <v>16</v>
      </c>
      <c r="D7" s="11">
        <v>533.4</v>
      </c>
      <c r="E7" s="11">
        <v>91</v>
      </c>
      <c r="F7" s="11">
        <v>539.6</v>
      </c>
      <c r="G7" s="11">
        <v>89</v>
      </c>
      <c r="H7" s="12">
        <f>=(D7-F7)/D7</f>
        <v>-0.011623547056618</v>
      </c>
      <c r="I7" s="13">
        <f>=G7-E7</f>
        <v>-2</v>
      </c>
      <c r="J7" s="12">
        <f>=(G7-E7)/E7</f>
        <v>-0.021978021978022</v>
      </c>
      <c r="M7" t="s"/>
    </row>
    <row r="8" spans="1:10">
      <c r="A8" s="15" t="s"/>
      <c r="B8" s="11">
        <v>50</v>
      </c>
      <c r="C8" s="11" t="s">
        <v>18</v>
      </c>
      <c r="D8" s="11">
        <v>545.1</v>
      </c>
      <c r="E8" s="11">
        <v>88</v>
      </c>
      <c r="F8" s="11">
        <v>534.7</v>
      </c>
      <c r="G8" s="11">
        <v>90</v>
      </c>
      <c r="H8" s="12">
        <f>=(D8-F8)/D8</f>
        <v>0.0190790680609062</v>
      </c>
      <c r="I8" s="13">
        <f>=G8-E8</f>
        <v>2</v>
      </c>
      <c r="J8" s="12">
        <f>=(G8-E8)/E8</f>
        <v>0.0227272727272727</v>
      </c>
    </row>
    <row r="9" spans="1:12" ht="36" customHeight="1">
      <c r="A9" s="10" t="s">
        <v>19</v>
      </c>
      <c r="B9" s="11">
        <v>5</v>
      </c>
      <c r="C9" s="11" t="s">
        <v>16</v>
      </c>
      <c r="D9" s="11">
        <v>54.4</v>
      </c>
      <c r="E9" s="11">
        <v>90</v>
      </c>
      <c r="F9" s="11">
        <v>50.1</v>
      </c>
      <c r="G9" s="11">
        <v>97</v>
      </c>
      <c r="H9" s="12">
        <f>=(D9-F9)/D9</f>
        <v>0.0790441176470588</v>
      </c>
      <c r="I9" s="13">
        <f>=G9-E9</f>
        <v>7</v>
      </c>
      <c r="J9" s="12">
        <f>=(G9-E9)/E9</f>
        <v>0.0777777777777778</v>
      </c>
      <c r="K9">
        <v>1</v>
      </c>
      <c r="L9" t="s"/>
    </row>
    <row r="10" spans="1:13" ht="48" customHeight="1">
      <c r="A10" s="14" t="s"/>
      <c r="B10" s="11">
        <v>16</v>
      </c>
      <c r="C10" s="11" t="s">
        <v>16</v>
      </c>
      <c r="D10" s="11">
        <v>116.4</v>
      </c>
      <c r="E10" s="11">
        <v>134</v>
      </c>
      <c r="F10" s="11">
        <v>115.8</v>
      </c>
      <c r="G10" s="11">
        <v>135</v>
      </c>
      <c r="H10" s="12">
        <f>=(D10-F10)/D10</f>
        <v>0.00515463917525781</v>
      </c>
      <c r="I10" s="13">
        <f>=G10-E10</f>
        <v>1</v>
      </c>
      <c r="J10" s="12">
        <f>=(G10-E10)/E10</f>
        <v>0.00746268656716418</v>
      </c>
      <c r="L10" t="s"/>
      <c r="M10" t="s"/>
    </row>
    <row r="11" spans="1:12">
      <c r="A11" s="14" t="s"/>
      <c r="B11" s="11">
        <v>30</v>
      </c>
      <c r="C11" s="11" t="s">
        <v>16</v>
      </c>
      <c r="D11" s="11">
        <v>113.8</v>
      </c>
      <c r="E11" s="11">
        <v>257</v>
      </c>
      <c r="F11" s="11">
        <v>115.6</v>
      </c>
      <c r="G11" s="11">
        <v>253</v>
      </c>
      <c r="H11" s="12">
        <f>=(D11-F11)/D11</f>
        <v>-0.015817223198594</v>
      </c>
      <c r="I11" s="13">
        <f>=G11-E11</f>
        <v>-4</v>
      </c>
      <c r="J11" s="12">
        <f>=(G11-E11)/E11</f>
        <v>-0.0155642023346304</v>
      </c>
      <c r="L11" t="s"/>
    </row>
    <row r="12" spans="1:13">
      <c r="A12" s="15" t="s"/>
      <c r="B12" s="11">
        <v>50</v>
      </c>
      <c r="C12" s="11" t="s">
        <v>16</v>
      </c>
      <c r="D12" s="11">
        <v>116</v>
      </c>
      <c r="E12" s="11">
        <v>421</v>
      </c>
      <c r="F12" s="11">
        <v>119.5</v>
      </c>
      <c r="G12" s="11">
        <v>409</v>
      </c>
      <c r="H12" s="12">
        <f>=(D12-F12)/D12</f>
        <v>-0.0301724137931035</v>
      </c>
      <c r="I12" s="13">
        <f>=G12-E12</f>
        <v>-12</v>
      </c>
      <c r="J12" s="12">
        <f>=(G12-E12)/E12</f>
        <v>-0.0285035629453682</v>
      </c>
      <c r="L12" t="s"/>
      <c r="M12" t="s"/>
    </row>
    <row r="13" spans="1:11">
      <c r="A13" s="10" t="s">
        <v>20</v>
      </c>
      <c r="B13" s="11">
        <v>5</v>
      </c>
      <c r="C13" s="11" t="s">
        <v>16</v>
      </c>
      <c r="D13" s="11">
        <v>85.2</v>
      </c>
      <c r="E13" s="11">
        <v>57</v>
      </c>
      <c r="F13" s="11">
        <v>78.2</v>
      </c>
      <c r="G13" s="11">
        <v>62</v>
      </c>
      <c r="H13" s="12">
        <f>=(D13-F13)/D13</f>
        <v>0.0821596244131456</v>
      </c>
      <c r="I13" s="13">
        <f>=G13-E13</f>
        <v>5</v>
      </c>
      <c r="J13" s="12">
        <f>=(G13-E13)/E13</f>
        <v>0.0877192982456141</v>
      </c>
      <c r="K13">
        <v>1</v>
      </c>
    </row>
    <row r="14" spans="1:10">
      <c r="A14" s="14" t="s"/>
      <c r="B14" s="11">
        <v>16</v>
      </c>
      <c r="C14" s="11" t="s">
        <v>16</v>
      </c>
      <c r="D14" s="11">
        <v>255.9</v>
      </c>
      <c r="E14" s="11">
        <v>61</v>
      </c>
      <c r="F14" s="11">
        <v>244.7</v>
      </c>
      <c r="G14" s="11">
        <v>63</v>
      </c>
      <c r="H14" s="12">
        <f>=(D14-F14)/D14</f>
        <v>0.043767096522079</v>
      </c>
      <c r="I14" s="13">
        <f>=G14-E14</f>
        <v>2</v>
      </c>
      <c r="J14" s="12">
        <f>=(G14-E14)/E14</f>
        <v>0.0327868852459017</v>
      </c>
    </row>
    <row r="15" spans="1:13">
      <c r="A15" s="14" t="s"/>
      <c r="B15" s="11">
        <v>30</v>
      </c>
      <c r="C15" s="11" t="s">
        <v>16</v>
      </c>
      <c r="D15" s="11">
        <v>435.1</v>
      </c>
      <c r="E15" s="11">
        <v>67</v>
      </c>
      <c r="F15" s="11">
        <v>402.7</v>
      </c>
      <c r="G15" s="11">
        <v>72</v>
      </c>
      <c r="H15" s="12">
        <f>=(D15-F15)/D15</f>
        <v>0.0744656400827397</v>
      </c>
      <c r="I15" s="13">
        <f>=G15-E15</f>
        <v>5</v>
      </c>
      <c r="J15" s="12">
        <f>=(G15-E15)/E15</f>
        <v>0.0746268656716418</v>
      </c>
      <c r="L15" t="s"/>
      <c r="M15" t="s"/>
    </row>
    <row r="16" spans="1:13">
      <c r="A16" s="16" t="s"/>
      <c r="B16" s="11">
        <v>50</v>
      </c>
      <c r="C16" s="11" t="s">
        <v>16</v>
      </c>
      <c r="D16" s="11">
        <v>533.4</v>
      </c>
      <c r="E16" s="11">
        <v>91</v>
      </c>
      <c r="F16" s="11">
        <v>538.3</v>
      </c>
      <c r="G16" s="11">
        <v>89</v>
      </c>
      <c r="H16" s="12">
        <f>=(D16-F16)/D16</f>
        <v>-0.00918635170603671</v>
      </c>
      <c r="I16" s="13">
        <f>=G16-E16</f>
        <v>-2</v>
      </c>
      <c r="J16" s="12">
        <f>=(G16-E16)/E16</f>
        <v>-0.021978021978022</v>
      </c>
      <c r="M16" t="s"/>
    </row>
    <row r="17" spans="1:13">
      <c r="A17" s="5" t="s">
        <v>21</v>
      </c>
      <c r="B17" s="11">
        <v>16</v>
      </c>
      <c r="C17" s="11" t="s">
        <v>16</v>
      </c>
      <c r="D17" s="11">
        <v>316.1</v>
      </c>
      <c r="E17" s="11">
        <v>49</v>
      </c>
      <c r="F17" s="11">
        <v>276.4</v>
      </c>
      <c r="G17" s="11">
        <v>56</v>
      </c>
      <c r="H17" s="12">
        <f>=(D17-F17)/D17</f>
        <v>0.125593166719393</v>
      </c>
      <c r="I17" s="13">
        <f>=G17-E17</f>
        <v>7</v>
      </c>
      <c r="J17" s="12">
        <f>=(G17-E17)/E17</f>
        <v>0.142857142857143</v>
      </c>
      <c r="L17" t="s"/>
      <c r="M17" t="s"/>
    </row>
    <row r="18" spans="1:13">
      <c r="A18" s="5" t="s">
        <v>22</v>
      </c>
      <c r="B18" s="11">
        <v>16</v>
      </c>
      <c r="C18" s="11" t="s">
        <v>16</v>
      </c>
      <c r="D18" s="11">
        <v>12.5</v>
      </c>
      <c r="E18" s="11">
        <v>1256</v>
      </c>
      <c r="F18" s="11">
        <v>12.4</v>
      </c>
      <c r="G18" s="11">
        <v>1267</v>
      </c>
      <c r="H18" s="12">
        <f>=(D18-F18)/D18</f>
        <v>0.00799999999999997</v>
      </c>
      <c r="I18" s="13">
        <f>=G18-E18</f>
        <v>11</v>
      </c>
      <c r="J18" s="12">
        <f>=(G18-E18)/E18</f>
        <v>0.00875796178343949</v>
      </c>
      <c r="L18" t="s"/>
      <c r="M18" t="s"/>
    </row>
    <row r="19" spans="1:13">
      <c r="A19" s="5" t="s">
        <v>23</v>
      </c>
      <c r="B19" s="11">
        <v>16</v>
      </c>
      <c r="C19" s="11" t="s">
        <v>16</v>
      </c>
      <c r="D19" s="11">
        <v>302.8</v>
      </c>
      <c r="E19" s="11">
        <v>51</v>
      </c>
      <c r="F19" s="11">
        <v>272.4</v>
      </c>
      <c r="G19" s="11">
        <v>57</v>
      </c>
      <c r="H19" s="12">
        <f>=(D19-F19)/D19</f>
        <v>0.100396301188904</v>
      </c>
      <c r="I19" s="13">
        <f>=G19-E19</f>
        <v>6</v>
      </c>
      <c r="J19" s="12">
        <f>=(G19-E19)/E19</f>
        <v>0.117647058823529</v>
      </c>
      <c r="L19" t="s"/>
      <c r="M19" t="s"/>
    </row>
    <row r="20" spans="1:13">
      <c r="A20" s="5" t="s">
        <v>24</v>
      </c>
      <c r="B20" s="11">
        <v>16</v>
      </c>
      <c r="C20" s="11" t="s">
        <v>16</v>
      </c>
      <c r="D20" s="11">
        <v>12.3</v>
      </c>
      <c r="E20" s="11">
        <v>1275</v>
      </c>
      <c r="F20" s="11">
        <v>12.5</v>
      </c>
      <c r="G20" s="11">
        <v>1255</v>
      </c>
      <c r="H20" s="12">
        <f>=(D20-F20)/D20</f>
        <v>-0.016260162601626</v>
      </c>
      <c r="I20" s="13">
        <f>=G20-E20</f>
        <v>-20</v>
      </c>
      <c r="J20" s="12">
        <f>=(G20-E20)/E20</f>
        <v>-0.0156862745098039</v>
      </c>
      <c r="L20" t="s"/>
      <c r="M20" t="s"/>
    </row>
    <row r="21" spans="1:13">
      <c r="A21" s="5" t="s">
        <v>25</v>
      </c>
      <c r="B21" s="11">
        <v>16</v>
      </c>
      <c r="C21" s="11" t="s">
        <v>16</v>
      </c>
      <c r="D21" s="11">
        <v>307.8</v>
      </c>
      <c r="E21" s="11">
        <v>50</v>
      </c>
      <c r="F21" s="11">
        <v>269.2</v>
      </c>
      <c r="G21" s="11">
        <v>58</v>
      </c>
      <c r="H21" s="12">
        <f>=(D21-F21)/D21</f>
        <v>0.125406107862248</v>
      </c>
      <c r="I21" s="13">
        <f>=G21-E21</f>
        <v>8</v>
      </c>
      <c r="J21" s="12">
        <f>=(G21-E21)/E21</f>
        <v>0.16</v>
      </c>
      <c r="L21" t="s"/>
      <c r="M21" t="s"/>
    </row>
    <row r="22" spans="1:13">
      <c r="A22" s="5" t="s">
        <v>26</v>
      </c>
      <c r="B22" s="11">
        <v>16</v>
      </c>
      <c r="C22" s="11" t="s">
        <v>16</v>
      </c>
      <c r="D22" s="11">
        <v>309.8</v>
      </c>
      <c r="E22" s="11">
        <v>50</v>
      </c>
      <c r="F22" s="11">
        <v>278.9</v>
      </c>
      <c r="G22" s="11">
        <v>56</v>
      </c>
      <c r="H22" s="12">
        <f>=(D22-F22)/D22</f>
        <v>0.0997417688831505</v>
      </c>
      <c r="I22" s="13">
        <f>=G22-E22</f>
        <v>6</v>
      </c>
      <c r="J22" s="12">
        <f>=(G22-E22)/E22</f>
        <v>0.12</v>
      </c>
      <c r="L22" t="s"/>
      <c r="M22" t="s"/>
    </row>
    <row r="23" spans="1:13">
      <c r="A23" s="5" t="s">
        <v>27</v>
      </c>
      <c r="B23" s="11">
        <v>16</v>
      </c>
      <c r="C23" s="11" t="s">
        <v>16</v>
      </c>
      <c r="D23" s="11">
        <v>12.5</v>
      </c>
      <c r="E23" s="11">
        <v>1255</v>
      </c>
      <c r="F23" s="11">
        <v>12.5</v>
      </c>
      <c r="G23" s="11">
        <v>1255</v>
      </c>
      <c r="H23" s="12">
        <f>=(D23-F23)/D23</f>
        <v>0</v>
      </c>
      <c r="I23" s="13">
        <f>=G23-E23</f>
        <v>0</v>
      </c>
      <c r="J23" s="12">
        <f>=(G23-E23)/E23</f>
        <v>0</v>
      </c>
      <c r="L23" t="s"/>
      <c r="M23" t="s"/>
    </row>
    <row r="24" spans="1:10">
      <c r="A24" s="4" t="s">
        <v>28</v>
      </c>
      <c r="B24" s="5" t="s"/>
      <c r="C24" s="5" t="s"/>
      <c r="D24" s="5" t="s"/>
      <c r="E24" s="5" t="s"/>
      <c r="F24" s="5" t="s"/>
      <c r="G24" s="5" t="s"/>
      <c r="H24" s="5" t="s"/>
      <c r="I24" s="6" t="s"/>
      <c r="J24" s="5" t="s"/>
    </row>
    <row r="25" spans="1:10">
      <c r="A25" s="17" t="s">
        <v>5</v>
      </c>
      <c r="B25" s="17" t="s">
        <v>6</v>
      </c>
      <c r="C25" s="17" t="s">
        <v>7</v>
      </c>
      <c r="D25" s="17" t="s">
        <v>29</v>
      </c>
      <c r="E25" s="17" t="s">
        <v>30</v>
      </c>
      <c r="F25" s="17" t="s">
        <v>31</v>
      </c>
      <c r="G25" s="17" t="s">
        <v>32</v>
      </c>
      <c r="H25" s="18" t="s">
        <v>33</v>
      </c>
      <c r="I25" s="9" t="s">
        <v>13</v>
      </c>
      <c r="J25" s="18" t="s">
        <v>34</v>
      </c>
    </row>
    <row r="26" spans="1:10">
      <c r="A26" s="5" t="s">
        <v>15</v>
      </c>
      <c r="B26" s="5">
        <v>16</v>
      </c>
      <c r="C26" s="5" t="s">
        <v>16</v>
      </c>
      <c r="D26" s="5">
        <v>257.2</v>
      </c>
      <c r="E26" s="5">
        <v>60</v>
      </c>
      <c r="F26" s="5">
        <v>261.9</v>
      </c>
      <c r="G26" s="5">
        <v>59</v>
      </c>
      <c r="H26" s="12">
        <f>=(D26-F26)/D26</f>
        <v>-0.0182737169517885</v>
      </c>
      <c r="I26" s="13">
        <f>=G26-E26</f>
        <v>-1</v>
      </c>
      <c r="J26" s="12">
        <f>=(G26-E26)/E26</f>
        <v>-0.0166666666666667</v>
      </c>
    </row>
    <row r="27" spans="1:10">
      <c r="A27" s="5" t="s">
        <v>20</v>
      </c>
      <c r="B27" s="5">
        <v>16</v>
      </c>
      <c r="C27" s="5" t="s">
        <v>16</v>
      </c>
      <c r="D27" s="5">
        <v>257.2</v>
      </c>
      <c r="E27" s="5">
        <v>60</v>
      </c>
      <c r="F27" s="5">
        <v>287.5</v>
      </c>
      <c r="G27" s="5">
        <v>54</v>
      </c>
      <c r="H27" s="12">
        <f>=(D27-F27)/D27</f>
        <v>-0.117807153965785</v>
      </c>
      <c r="I27" s="13">
        <f>=G27-E27</f>
        <v>-6</v>
      </c>
      <c r="J27" s="12">
        <f>=(G27-E27)/E27</f>
        <v>-0.1</v>
      </c>
    </row>
    <row r="28" spans="1:10">
      <c r="A28" s="5" t="s">
        <v>21</v>
      </c>
      <c r="B28" s="5">
        <v>16</v>
      </c>
      <c r="C28" s="5" t="s">
        <v>16</v>
      </c>
      <c r="D28" s="5">
        <v>302.8</v>
      </c>
      <c r="E28" s="5">
        <v>51</v>
      </c>
      <c r="F28" s="5">
        <v>315.2</v>
      </c>
      <c r="G28" s="5">
        <v>49</v>
      </c>
      <c r="H28" s="12">
        <f>=(D28-F28)/D28</f>
        <v>-0.0409511228533685</v>
      </c>
      <c r="I28" s="13">
        <f>=G28-E28</f>
        <v>-2</v>
      </c>
      <c r="J28" s="12">
        <f>=(G28-E28)/E28</f>
        <v>-0.0392156862745098</v>
      </c>
    </row>
    <row r="29" spans="1:10">
      <c r="A29" s="5" t="s">
        <v>22</v>
      </c>
      <c r="B29" s="5">
        <v>16</v>
      </c>
      <c r="C29" s="5" t="s">
        <v>16</v>
      </c>
      <c r="D29" s="5">
        <v>12.3</v>
      </c>
      <c r="E29" s="5">
        <v>1271</v>
      </c>
      <c r="F29" s="5">
        <v>10.5</v>
      </c>
      <c r="G29" s="5">
        <v>1486</v>
      </c>
      <c r="H29" s="12">
        <f>=(D29-F29)/D29</f>
        <v>0.146341463414634</v>
      </c>
      <c r="I29" s="13">
        <f>=G29-E29</f>
        <v>215</v>
      </c>
      <c r="J29" s="12">
        <f>=(G29-E29)/E29</f>
        <v>0.169158143194335</v>
      </c>
    </row>
    <row r="30" spans="1:10">
      <c r="A30" s="5" t="s">
        <v>23</v>
      </c>
      <c r="B30" s="5">
        <v>16</v>
      </c>
      <c r="C30" s="5" t="s">
        <v>16</v>
      </c>
      <c r="D30" s="5">
        <v>318.8</v>
      </c>
      <c r="E30" s="5">
        <v>49</v>
      </c>
      <c r="F30" s="5">
        <v>308.4</v>
      </c>
      <c r="G30" s="5">
        <v>50</v>
      </c>
      <c r="H30" s="12">
        <f>=(D30-F30)/D30</f>
        <v>0.0326223337515685</v>
      </c>
      <c r="I30" s="13">
        <f>=G30-E30</f>
        <v>1</v>
      </c>
      <c r="J30" s="12">
        <f>=(G30-E30)/E30</f>
        <v>0.0204081632653061</v>
      </c>
    </row>
    <row r="31" spans="1:10">
      <c r="A31" s="5" t="s">
        <v>24</v>
      </c>
      <c r="B31" s="5">
        <v>16</v>
      </c>
      <c r="C31" s="5" t="s">
        <v>16</v>
      </c>
      <c r="D31" s="5">
        <v>12.4</v>
      </c>
      <c r="E31" s="5">
        <v>1257</v>
      </c>
      <c r="F31" s="5">
        <v>10.5</v>
      </c>
      <c r="G31" s="5">
        <v>1494</v>
      </c>
      <c r="H31" s="12">
        <f>=(D31-F31)/D31</f>
        <v>0.153225806451613</v>
      </c>
      <c r="I31" s="13">
        <f>=G31-E31</f>
        <v>237</v>
      </c>
      <c r="J31" s="12">
        <f>=(G31-E31)/E31</f>
        <v>0.18854415274463</v>
      </c>
    </row>
    <row r="32" spans="1:10">
      <c r="A32" s="5" t="s">
        <v>25</v>
      </c>
      <c r="B32" s="5">
        <v>16</v>
      </c>
      <c r="C32" s="5" t="s">
        <v>16</v>
      </c>
      <c r="D32" s="5">
        <v>310.9</v>
      </c>
      <c r="E32" s="5">
        <v>50</v>
      </c>
      <c r="F32" s="5">
        <v>308</v>
      </c>
      <c r="G32" s="5">
        <v>50</v>
      </c>
      <c r="H32" s="12">
        <f>=(D32-F32)/D32</f>
        <v>0.00932775812158243</v>
      </c>
      <c r="I32" s="13">
        <f>=G32-E32</f>
        <v>0</v>
      </c>
      <c r="J32" s="12">
        <f>=(G32-E32)/E32</f>
        <v>0</v>
      </c>
    </row>
    <row r="33" spans="1:10">
      <c r="A33" s="5" t="s">
        <v>26</v>
      </c>
      <c r="B33" s="5">
        <v>16</v>
      </c>
      <c r="C33" s="5" t="s">
        <v>16</v>
      </c>
      <c r="D33" s="5">
        <v>314.8</v>
      </c>
      <c r="E33" s="5">
        <v>49</v>
      </c>
      <c r="F33" s="5">
        <v>316.4</v>
      </c>
      <c r="G33" s="5">
        <v>49</v>
      </c>
      <c r="H33" s="12">
        <f>=(D33-F33)/D33</f>
        <v>-0.0050825921219821</v>
      </c>
      <c r="I33" s="13">
        <f>=G33-E33</f>
        <v>0</v>
      </c>
      <c r="J33" s="12">
        <f>=(G33-E33)/E33</f>
        <v>0</v>
      </c>
    </row>
    <row r="34" spans="1:10">
      <c r="A34" s="5" t="s">
        <v>27</v>
      </c>
      <c r="B34" s="5">
        <v>16</v>
      </c>
      <c r="C34" s="5" t="s">
        <v>16</v>
      </c>
      <c r="D34" s="5">
        <v>12.5</v>
      </c>
      <c r="E34" s="5">
        <v>1256</v>
      </c>
      <c r="F34" s="5">
        <v>10.5</v>
      </c>
      <c r="G34" s="5">
        <v>1495</v>
      </c>
      <c r="H34" s="12">
        <f>=(D34-F34)/D34</f>
        <v>0.16</v>
      </c>
      <c r="I34" s="13">
        <f>=G34-E34</f>
        <v>239</v>
      </c>
      <c r="J34" s="12">
        <f>=(G34-E34)/E34</f>
        <v>0.190286624203822</v>
      </c>
    </row>
    <row r="35" spans="1:10">
      <c r="A35" s="5" t="s"/>
      <c r="B35" s="5" t="s"/>
      <c r="C35" s="5" t="s"/>
      <c r="D35" s="5" t="s"/>
      <c r="E35" s="5" t="s"/>
      <c r="F35" s="5" t="s"/>
      <c r="G35" s="5" t="s"/>
      <c r="H35" s="20" t="s"/>
      <c r="I35" s="21" t="s"/>
      <c r="J35" s="20" t="s"/>
    </row>
    <row r="38" spans="1:10">
      <c r="A38" s="4" t="s">
        <v>36</v>
      </c>
      <c r="B38" s="5" t="s"/>
      <c r="C38" s="5" t="s"/>
      <c r="D38" s="5" t="s"/>
      <c r="E38" s="5" t="s"/>
      <c r="F38" s="5" t="s"/>
      <c r="G38" s="5" t="s"/>
      <c r="H38" s="5" t="s"/>
      <c r="I38" s="6" t="s"/>
      <c r="J38" s="5" t="s"/>
    </row>
    <row r="39" spans="1:10">
      <c r="A39" s="17" t="s">
        <v>5</v>
      </c>
      <c r="B39" s="23" t="s">
        <v>37</v>
      </c>
      <c r="C39" s="17" t="s">
        <v>38</v>
      </c>
      <c r="D39" s="17" t="s">
        <v>39</v>
      </c>
      <c r="E39" s="17" t="s">
        <v>40</v>
      </c>
      <c r="F39" s="17" t="s">
        <v>41</v>
      </c>
      <c r="G39" s="17" t="s"/>
      <c r="H39" s="18" t="s"/>
      <c r="I39" s="19" t="s"/>
      <c r="J39" s="18" t="s"/>
    </row>
    <row r="40" spans="1:10">
      <c r="A40" s="5" t="s">
        <v>42</v>
      </c>
      <c r="B40" s="11">
        <v>4414991</v>
      </c>
      <c r="C40" s="24">
        <v>5.77</v>
      </c>
      <c r="D40" s="11">
        <v>9.63</v>
      </c>
      <c r="E40" s="11">
        <f>=D40-C40</f>
        <v>3.86</v>
      </c>
      <c r="F40" s="12">
        <f>=(D40-C40)/C40</f>
        <v>0.668977469670711</v>
      </c>
      <c r="G40" s="11" t="s"/>
      <c r="H40" s="12" t="s"/>
      <c r="I40" s="13" t="s"/>
      <c r="J40" s="12" t="s"/>
    </row>
    <row r="41" spans="1:10">
      <c r="A41" s="5" t="s">
        <v>43</v>
      </c>
      <c r="B41" s="11">
        <v>4414991</v>
      </c>
      <c r="C41" s="24">
        <v>5.77</v>
      </c>
      <c r="D41" s="11">
        <v>10.35</v>
      </c>
      <c r="E41" s="11">
        <f>=D41-C41</f>
        <v>4.58</v>
      </c>
      <c r="F41" s="12">
        <f>=(D41-C41)/C41</f>
        <v>0.793760831889082</v>
      </c>
      <c r="G41" s="11" t="s"/>
      <c r="H41" s="12" t="s"/>
      <c r="I41" s="13" t="s"/>
      <c r="J41" s="12" t="s"/>
    </row>
    <row r="42" spans="1:10">
      <c r="A42" s="5" t="s">
        <v>44</v>
      </c>
      <c r="B42" s="11">
        <v>4414991</v>
      </c>
      <c r="C42" s="24">
        <v>5.77</v>
      </c>
      <c r="D42" s="11">
        <v>10.72</v>
      </c>
      <c r="E42" s="11">
        <f>=D42-C42</f>
        <v>4.95</v>
      </c>
      <c r="F42" s="12">
        <f>=(D42-C42)/C42</f>
        <v>0.8578856152513</v>
      </c>
      <c r="G42" s="11" t="s"/>
      <c r="H42" s="12" t="s"/>
      <c r="I42" s="13" t="s"/>
      <c r="J42" s="12" t="s"/>
    </row>
    <row r="43" spans="1:10">
      <c r="A43" s="5" t="s">
        <v>45</v>
      </c>
      <c r="B43" s="11">
        <v>4414991</v>
      </c>
      <c r="C43" s="24">
        <v>5.77</v>
      </c>
      <c r="D43" s="11">
        <v>12.61</v>
      </c>
      <c r="E43" s="11">
        <f>=D43-C43</f>
        <v>6.84</v>
      </c>
      <c r="F43" s="12">
        <f>=(D43-C43)/C43</f>
        <v>1.18544194107452</v>
      </c>
      <c r="G43" s="11" t="s"/>
      <c r="H43" s="12" t="s"/>
      <c r="I43" s="13" t="s"/>
      <c r="J43" s="12" t="s"/>
    </row>
    <row r="44" spans="1:10">
      <c r="A44" s="5" t="s"/>
      <c r="B44" s="5" t="s"/>
      <c r="C44" s="5" t="s"/>
      <c r="D44" s="5" t="s"/>
      <c r="E44" s="5" t="s"/>
      <c r="F44" s="5" t="s"/>
      <c r="G44" s="5" t="s"/>
      <c r="H44" s="20" t="s"/>
      <c r="I44" s="21" t="s"/>
      <c r="J44" s="20" t="s"/>
    </row>
    <row r="45" spans="1:10">
      <c r="A45" s="5" t="s"/>
      <c r="B45" s="5" t="s"/>
      <c r="C45" s="5" t="s"/>
      <c r="D45" s="5" t="s"/>
      <c r="E45" s="5" t="s"/>
      <c r="F45" s="5" t="s"/>
      <c r="G45" s="5" t="s"/>
      <c r="H45" s="20" t="s"/>
      <c r="I45" s="21" t="s"/>
      <c r="J45" s="20" t="s"/>
    </row>
    <row r="46" spans="1:10">
      <c r="A46" s="5" t="s"/>
      <c r="B46" s="5" t="s"/>
      <c r="C46" s="5" t="s"/>
      <c r="D46" s="5" t="s"/>
      <c r="E46" s="5" t="s"/>
      <c r="F46" s="5" t="s"/>
      <c r="G46" s="5" t="s"/>
      <c r="H46" s="20" t="s"/>
      <c r="I46" s="21" t="s"/>
      <c r="J46" s="20" t="s"/>
    </row>
    <row r="47" spans="1:10">
      <c r="A47" s="5" t="s"/>
      <c r="B47" s="5" t="s"/>
      <c r="C47" s="5" t="s"/>
      <c r="D47" s="5" t="s"/>
      <c r="E47" s="5" t="s"/>
      <c r="F47" s="5" t="s"/>
      <c r="G47" s="5" t="s"/>
      <c r="H47" s="20" t="s"/>
      <c r="I47" s="21" t="s"/>
      <c r="J47" s="20" t="s"/>
    </row>
    <row r="48" spans="1:10">
      <c r="A48" s="5" t="s"/>
      <c r="B48" s="5" t="s"/>
      <c r="C48" s="5" t="s"/>
      <c r="D48" s="5" t="s"/>
      <c r="E48" s="5" t="s"/>
      <c r="F48" s="5" t="s"/>
      <c r="G48" s="5" t="s"/>
      <c r="H48" s="20" t="s"/>
      <c r="I48" s="21" t="s"/>
      <c r="J48" s="20" t="s"/>
    </row>
    <row r="49" spans="1:10">
      <c r="A49" s="5" t="s"/>
      <c r="B49" s="5" t="s"/>
      <c r="C49" s="5" t="s"/>
      <c r="D49" s="5" t="s"/>
      <c r="E49" s="5" t="s"/>
      <c r="F49" s="5" t="s"/>
      <c r="G49" s="5" t="s"/>
      <c r="H49" s="20" t="s"/>
      <c r="I49" s="21" t="s"/>
      <c r="J49" s="20" t="s"/>
    </row>
    <row r="52" spans="1:10">
      <c r="A52" s="7" t="s">
        <v>5</v>
      </c>
      <c r="B52" s="7" t="s">
        <v>6</v>
      </c>
      <c r="C52" s="7" t="s">
        <v>7</v>
      </c>
      <c r="D52" s="7" t="s">
        <v>8</v>
      </c>
      <c r="E52" s="7" t="s">
        <v>9</v>
      </c>
      <c r="F52" s="7" t="s">
        <v>10</v>
      </c>
      <c r="G52" s="7" t="s">
        <v>11</v>
      </c>
      <c r="H52" s="8" t="s">
        <v>12</v>
      </c>
      <c r="I52" s="9" t="s">
        <v>13</v>
      </c>
      <c r="J52" s="8" t="s">
        <v>14</v>
      </c>
    </row>
    <row r="53" spans="1:7">
      <c r="A53" t="s">
        <v>46</v>
      </c>
      <c r="B53" s="32">
        <v>5</v>
      </c>
      <c r="C53" s="32" t="s">
        <v>16</v>
      </c>
      <c r="D53" s="32" t="s"/>
      <c r="E53" s="32" t="s"/>
      <c r="F53" s="32">
        <v>87.5</v>
      </c>
      <c r="G53" s="32">
        <v>52</v>
      </c>
    </row>
  </sheetData>
  <mergeCells count="6">
    <mergeCell ref="A9:A12"/>
    <mergeCell ref="A13:A16"/>
    <mergeCell ref="A1:J1"/>
    <mergeCell ref="A24:J24"/>
    <mergeCell ref="A38:J38"/>
    <mergeCell ref="A3:A8"/>
  </mergeCells>
  <drawing r:id="rId0"/>
</worksheet>
</file>

<file path=xl/worksheets/sheet2.xml><?xml version="1.0" encoding="utf-8"?>
<worksheet xmlns="http://schemas.openxmlformats.org/spreadsheetml/2006/main">
  <sheetPr codeName="测试用例"/>
  <dimension ref="G200"/>
  <sheetViews>
    <sheetView showGridLines="1" workbookViewId="0"/>
  </sheetViews>
  <sheetFormatPr baseColWidth="13" defaultRowHeight="18" customHeight="1"/>
  <cols>
    <col min="1" max="2" width="10.793" style="29" customWidth="1"/>
    <col min="3" max="3" width="43.293" style="29" customWidth="1"/>
    <col min="4" max="4" width="76.4844" style="29" customWidth="1"/>
    <col min="5" max="5" width="97.793" style="29" customWidth="1"/>
    <col min="6" max="6" width="25.3516" style="29" customWidth="1"/>
    <col min="7" max="7" width="41.6836" style="29" customWidth="1"/>
    <col min="8" max="26" width="13.6719" style="29"/>
  </cols>
  <sheetData>
    <row r="1" spans="1:7" ht="78" customHeight="1">
      <c r="A1" s="25" t="s">
        <v>47</v>
      </c>
      <c r="B1" s="25" t="s">
        <v>48</v>
      </c>
      <c r="C1" s="25" t="s">
        <v>49</v>
      </c>
      <c r="D1" s="25" t="s">
        <v>50</v>
      </c>
      <c r="E1" s="25" t="s">
        <v>51</v>
      </c>
      <c r="F1" s="25" t="s">
        <v>52</v>
      </c>
      <c r="G1" s="25" t="s">
        <v>53</v>
      </c>
    </row>
    <row r="2" spans="1:7" ht="78" customHeight="1">
      <c r="A2" s="25">
        <v>1</v>
      </c>
      <c r="B2" s="25" t="s">
        <v>54</v>
      </c>
      <c r="C2" s="25" t="s">
        <v>55</v>
      </c>
      <c r="D2" s="25" t="s">
        <v>56</v>
      </c>
      <c r="E2" s="25" t="s">
        <v>57</v>
      </c>
      <c r="F2" s="25" t="s">
        <v>104</v>
      </c>
      <c r="G2" s="25" t="s">
        <v>59</v>
      </c>
    </row>
    <row r="3" spans="1:7" ht="78" customHeight="1">
      <c r="A3" s="25">
        <v>2</v>
      </c>
      <c r="C3" s="26" t="s">
        <v>60</v>
      </c>
      <c r="D3" s="25" t="s">
        <v>56</v>
      </c>
      <c r="E3" s="25" t="s">
        <v>61</v>
      </c>
      <c r="F3" s="25" t="s">
        <v>104</v>
      </c>
      <c r="G3" s="25" t="s">
        <v>62</v>
      </c>
    </row>
    <row r="4" spans="1:7" ht="78" customHeight="1">
      <c r="A4" s="25">
        <v>3</v>
      </c>
      <c r="C4" s="25" t="s">
        <v>63</v>
      </c>
      <c r="D4" s="25" t="s">
        <v>64</v>
      </c>
      <c r="E4" s="25" t="s">
        <v>65</v>
      </c>
      <c r="F4" s="28" t="s">
        <v>107</v>
      </c>
      <c r="G4" s="25" t="s">
        <v>59</v>
      </c>
    </row>
    <row r="5" spans="1:7" ht="78" customHeight="1">
      <c r="A5" s="25">
        <v>4</v>
      </c>
      <c r="B5" s="25" t="s">
        <v>67</v>
      </c>
      <c r="C5" s="25" t="s">
        <v>68</v>
      </c>
      <c r="D5" s="27" t="s">
        <v>69</v>
      </c>
      <c r="E5" s="28" t="s">
        <v>70</v>
      </c>
      <c r="F5" s="28" t="s"/>
      <c r="G5" s="25" t="s">
        <v>59</v>
      </c>
    </row>
    <row r="6" spans="1:7" ht="78" customHeight="1">
      <c r="A6" s="29">
        <v>5</v>
      </c>
      <c r="C6" s="27" t="s">
        <v>71</v>
      </c>
      <c r="D6" s="27" t="s">
        <v>72</v>
      </c>
      <c r="E6" s="28" t="s">
        <v>73</v>
      </c>
      <c r="G6" s="28" t="s">
        <v>59</v>
      </c>
    </row>
    <row r="7" spans="1:8" ht="78" customHeight="1">
      <c r="A7" s="29">
        <v>6</v>
      </c>
      <c r="C7" s="30" t="s">
        <v>74</v>
      </c>
      <c r="D7" s="29" t="s">
        <v>94</v>
      </c>
      <c r="E7" s="31" t="s">
        <v>95</v>
      </c>
      <c r="F7" s="29" t="s">
        <v>108</v>
      </c>
      <c r="G7" s="29" t="s"/>
      <c r="H7" s="29" t="s">
        <v>78</v>
      </c>
    </row>
    <row r="8" spans="1:8" ht="78" customHeight="1">
      <c r="A8" s="29">
        <v>7</v>
      </c>
      <c r="C8" s="29" t="s">
        <v>79</v>
      </c>
      <c r="D8" s="29" t="s">
        <v>96</v>
      </c>
      <c r="E8" s="31" t="s">
        <v>97</v>
      </c>
      <c r="F8" s="29" t="s">
        <v>108</v>
      </c>
      <c r="G8" s="29" t="s"/>
      <c r="H8" s="29" t="s">
        <v>78</v>
      </c>
    </row>
    <row r="9" spans="1:7" ht="78" customHeight="1">
      <c r="A9" s="29">
        <v>8</v>
      </c>
      <c r="C9" s="30" t="s">
        <v>82</v>
      </c>
      <c r="D9" s="29" t="s">
        <v>98</v>
      </c>
      <c r="E9" s="31" t="s">
        <v>99</v>
      </c>
      <c r="F9" s="29" t="s">
        <v>110</v>
      </c>
      <c r="G9" s="29" t="s"/>
    </row>
    <row r="10" spans="1:7" ht="78" customHeight="1">
      <c r="A10" s="29">
        <v>9</v>
      </c>
      <c r="C10" s="29" t="s">
        <v>86</v>
      </c>
      <c r="D10" s="29" t="s">
        <v>100</v>
      </c>
      <c r="E10" s="31" t="s">
        <v>101</v>
      </c>
      <c r="F10" s="29" t="s">
        <v>112</v>
      </c>
      <c r="G10" s="29" t="s">
        <v>90</v>
      </c>
    </row>
    <row r="11" spans="1:7" ht="78" customHeight="1">
      <c r="A11" s="29">
        <v>10</v>
      </c>
      <c r="C11" s="29" t="s">
        <v>91</v>
      </c>
      <c r="D11" s="29" t="s">
        <v>102</v>
      </c>
      <c r="E11" s="31" t="s">
        <v>103</v>
      </c>
      <c r="F11" s="29" t="s">
        <v>112</v>
      </c>
      <c r="G11" s="29" t="s">
        <v>90</v>
      </c>
    </row>
    <row r="12" spans="1:26" ht="78" customHeight="1"/>
    <row r="13" spans="1:26" ht="78" customHeight="1"/>
    <row r="14" spans="1:26" ht="78" customHeight="1"/>
    <row r="15" spans="1:26" ht="78" customHeight="1"/>
    <row r="16" spans="1:26" ht="78" customHeight="1"/>
    <row r="17" spans="1:26" ht="78" customHeight="1"/>
    <row r="18" spans="1:26" ht="78" customHeight="1"/>
    <row r="19" spans="1:26" ht="78" customHeight="1"/>
    <row r="20" spans="1:26" ht="78" customHeight="1"/>
    <row r="21" spans="1:26" ht="78" customHeight="1"/>
    <row r="22" spans="1:26" ht="78" customHeight="1"/>
    <row r="23" spans="1:26" ht="78" customHeight="1"/>
    <row r="24" spans="1:26" ht="78" customHeight="1"/>
    <row r="25" spans="1:26" ht="78" customHeight="1"/>
    <row r="26" spans="1:26" ht="78" customHeight="1"/>
    <row r="27" spans="1:26" ht="78" customHeight="1"/>
    <row r="28" spans="1:26" ht="78" customHeight="1"/>
    <row r="29" spans="1:26" ht="78" customHeight="1"/>
    <row r="30" spans="1:26" ht="78" customHeight="1"/>
    <row r="31" spans="1:26" ht="78" customHeight="1"/>
    <row r="32" spans="1:26" ht="78" customHeight="1"/>
    <row r="33" spans="1:26" ht="78" customHeight="1"/>
    <row r="34" spans="1:26" ht="78" customHeight="1"/>
    <row r="35" spans="1:26" ht="78" customHeight="1"/>
    <row r="36" spans="1:26" ht="78" customHeight="1"/>
    <row r="37" spans="1:26" ht="78" customHeight="1"/>
    <row r="38" spans="1:26" ht="78" customHeight="1"/>
    <row r="39" spans="1:26" ht="78" customHeight="1"/>
    <row r="40" spans="1:26" ht="78" customHeight="1"/>
    <row r="41" spans="1:26" ht="78" customHeight="1"/>
    <row r="42" spans="1:26" ht="78" customHeight="1"/>
    <row r="43" spans="1:26" ht="78" customHeight="1"/>
    <row r="44" spans="1:26" ht="78" customHeight="1"/>
    <row r="45" spans="1:26" ht="78" customHeight="1"/>
    <row r="46" spans="1:26" ht="78" customHeight="1"/>
    <row r="47" spans="1:26" ht="78" customHeight="1"/>
    <row r="48" spans="1:26" ht="78" customHeight="1"/>
    <row r="49" spans="1:26" ht="78" customHeight="1"/>
    <row r="50" spans="1:26" ht="78" customHeight="1"/>
    <row r="51" spans="1:26" ht="78" customHeight="1"/>
    <row r="52" spans="1:26" ht="78" customHeight="1"/>
    <row r="53" spans="1:26" ht="78" customHeight="1"/>
    <row r="54" spans="1:26" ht="78" customHeight="1"/>
    <row r="55" spans="1:26" ht="78" customHeight="1"/>
    <row r="56" spans="1:26" ht="78" customHeight="1"/>
    <row r="57" spans="1:26" ht="78" customHeight="1"/>
    <row r="58" spans="1:26" ht="78" customHeight="1"/>
    <row r="59" spans="1:26" ht="78" customHeight="1"/>
    <row r="60" spans="1:26" ht="78" customHeight="1"/>
    <row r="61" spans="1:26" ht="78" customHeight="1"/>
    <row r="62" spans="1:26" ht="78" customHeight="1"/>
    <row r="63" spans="1:26" ht="78" customHeight="1"/>
    <row r="64" spans="1:26" ht="78" customHeight="1"/>
    <row r="65" spans="1:26" ht="78" customHeight="1"/>
    <row r="66" spans="1:26" ht="78" customHeight="1"/>
    <row r="67" spans="1:26" ht="78" customHeight="1"/>
    <row r="68" spans="1:26" ht="78" customHeight="1"/>
    <row r="69" spans="1:26" ht="78" customHeight="1"/>
    <row r="70" spans="1:26" ht="78" customHeight="1"/>
    <row r="71" spans="1:26" ht="78" customHeight="1"/>
    <row r="72" spans="1:26" ht="78" customHeight="1"/>
    <row r="73" spans="1:26" ht="78" customHeight="1"/>
    <row r="74" spans="1:26" ht="78" customHeight="1"/>
    <row r="75" spans="1:26" ht="78" customHeight="1"/>
    <row r="76" spans="1:26" ht="78" customHeight="1"/>
    <row r="77" spans="1:26" ht="78" customHeight="1"/>
    <row r="78" spans="1:26" ht="78" customHeight="1"/>
    <row r="79" spans="1:26" ht="78" customHeight="1"/>
    <row r="80" spans="1:26" ht="78" customHeight="1"/>
    <row r="81" spans="1:26" ht="78" customHeight="1"/>
    <row r="82" spans="1:26" ht="78" customHeight="1"/>
    <row r="83" spans="1:26" ht="78" customHeight="1"/>
    <row r="84" spans="1:26" ht="78" customHeight="1"/>
    <row r="85" spans="1:26" ht="78" customHeight="1"/>
    <row r="86" spans="1:26" ht="78" customHeight="1"/>
    <row r="87" spans="1:26" ht="78" customHeight="1"/>
    <row r="88" spans="1:26" ht="78" customHeight="1"/>
    <row r="89" spans="1:26" ht="78" customHeight="1"/>
    <row r="90" spans="1:26" ht="78" customHeight="1"/>
    <row r="91" spans="1:26" ht="78" customHeight="1"/>
    <row r="92" spans="1:26" ht="78" customHeight="1"/>
    <row r="93" spans="1:26" ht="78" customHeight="1"/>
    <row r="94" spans="1:26" ht="78" customHeight="1"/>
    <row r="95" spans="1:26" ht="78" customHeight="1"/>
    <row r="96" spans="1:26" ht="78" customHeight="1"/>
    <row r="97" spans="1:26" ht="78" customHeight="1"/>
    <row r="98" spans="1:26" ht="78" customHeight="1"/>
    <row r="99" spans="1:26" ht="78" customHeight="1"/>
    <row r="100" spans="1:26" ht="78" customHeight="1"/>
    <row r="101" spans="1:26" ht="78" customHeight="1"/>
    <row r="102" spans="1:26" ht="78" customHeight="1"/>
    <row r="103" spans="1:26" ht="78" customHeight="1"/>
    <row r="104" spans="1:26" ht="78" customHeight="1"/>
    <row r="105" spans="1:26" ht="78" customHeight="1"/>
    <row r="106" spans="1:26" ht="78" customHeight="1"/>
    <row r="107" spans="1:26" ht="78" customHeight="1"/>
    <row r="108" spans="1:26" ht="78" customHeight="1"/>
    <row r="109" spans="1:26" ht="78" customHeight="1"/>
    <row r="110" spans="1:26" ht="78" customHeight="1"/>
    <row r="111" spans="1:26" ht="78" customHeight="1"/>
    <row r="112" spans="1:26" ht="78" customHeight="1"/>
    <row r="113" spans="1:26" ht="78" customHeight="1"/>
    <row r="114" spans="1:26" ht="78" customHeight="1"/>
    <row r="115" spans="1:26" ht="78" customHeight="1"/>
    <row r="116" spans="1:26" ht="78" customHeight="1"/>
    <row r="117" spans="1:26" ht="78" customHeight="1"/>
    <row r="118" spans="1:26" ht="78" customHeight="1"/>
    <row r="119" spans="1:26" ht="78" customHeight="1"/>
    <row r="120" spans="1:26" ht="78" customHeight="1"/>
    <row r="121" spans="1:26" ht="78" customHeight="1"/>
    <row r="122" spans="1:26" ht="78" customHeight="1"/>
    <row r="123" spans="1:26" ht="78" customHeight="1"/>
    <row r="124" spans="1:26" ht="78" customHeight="1"/>
    <row r="125" spans="1:26" ht="78" customHeight="1"/>
    <row r="126" spans="1:26" ht="78" customHeight="1"/>
    <row r="127" spans="1:26" ht="78" customHeight="1"/>
    <row r="128" spans="1:26" ht="78" customHeight="1"/>
    <row r="129" spans="1:26" ht="78" customHeight="1"/>
    <row r="130" spans="1:26" ht="78" customHeight="1"/>
    <row r="131" spans="1:26" ht="78" customHeight="1"/>
    <row r="132" spans="1:26" ht="78" customHeight="1"/>
    <row r="133" spans="1:26" ht="78" customHeight="1"/>
    <row r="134" spans="1:26" ht="78" customHeight="1"/>
    <row r="135" spans="1:26" ht="78" customHeight="1"/>
    <row r="136" spans="1:26" ht="78" customHeight="1"/>
    <row r="137" spans="1:26" ht="78" customHeight="1"/>
    <row r="138" spans="1:26" ht="78" customHeight="1"/>
    <row r="139" spans="1:26" ht="78" customHeight="1"/>
    <row r="140" spans="1:26" ht="78" customHeight="1"/>
    <row r="141" spans="1:26" ht="78" customHeight="1"/>
    <row r="142" spans="1:26" ht="78" customHeight="1"/>
    <row r="143" spans="1:26" ht="78" customHeight="1"/>
    <row r="144" spans="1:26" ht="78" customHeight="1"/>
    <row r="145" spans="1:26" ht="78" customHeight="1"/>
    <row r="146" spans="1:26" ht="78" customHeight="1"/>
    <row r="147" spans="1:26" ht="78" customHeight="1"/>
    <row r="148" spans="1:26" ht="78" customHeight="1"/>
    <row r="149" spans="1:26" ht="78" customHeight="1"/>
    <row r="150" spans="1:26" ht="78" customHeight="1"/>
    <row r="151" spans="1:26" ht="78" customHeight="1"/>
    <row r="152" spans="1:26" ht="78" customHeight="1"/>
    <row r="153" spans="1:26" ht="78" customHeight="1"/>
    <row r="154" spans="1:26" ht="78" customHeight="1"/>
    <row r="155" spans="1:26" ht="78" customHeight="1"/>
    <row r="156" spans="1:26" ht="78" customHeight="1"/>
    <row r="157" spans="1:26" ht="78" customHeight="1"/>
    <row r="158" spans="1:26" ht="78" customHeight="1"/>
    <row r="159" spans="1:26" ht="78" customHeight="1"/>
    <row r="160" spans="1:26" ht="78" customHeight="1"/>
    <row r="161" spans="1:26" ht="78" customHeight="1"/>
    <row r="162" spans="1:26" ht="78" customHeight="1"/>
    <row r="163" spans="1:26" ht="78" customHeight="1"/>
    <row r="164" spans="1:26" ht="78" customHeight="1"/>
    <row r="165" spans="1:26" ht="78" customHeight="1"/>
    <row r="166" spans="1:26" ht="78" customHeight="1"/>
    <row r="167" spans="1:26" ht="78" customHeight="1"/>
    <row r="168" spans="1:26" ht="78" customHeight="1"/>
    <row r="169" spans="1:26" ht="78" customHeight="1"/>
    <row r="170" spans="1:26" ht="78" customHeight="1"/>
    <row r="171" spans="1:26" ht="78" customHeight="1"/>
    <row r="172" spans="1:26" ht="78" customHeight="1"/>
    <row r="173" spans="1:26" ht="78" customHeight="1"/>
    <row r="174" spans="1:26" ht="78" customHeight="1"/>
    <row r="175" spans="1:26" ht="78" customHeight="1"/>
    <row r="176" spans="1:26" ht="78" customHeight="1"/>
    <row r="177" spans="1:26" ht="78" customHeight="1"/>
    <row r="178" spans="1:26" ht="78" customHeight="1"/>
    <row r="179" spans="1:26" ht="78" customHeight="1"/>
    <row r="180" spans="1:26" ht="78" customHeight="1"/>
    <row r="181" spans="1:26" ht="78" customHeight="1"/>
    <row r="182" spans="1:26" ht="78" customHeight="1"/>
    <row r="183" spans="1:26" ht="78" customHeight="1"/>
    <row r="184" spans="1:26" ht="78" customHeight="1"/>
    <row r="185" spans="1:26" ht="78" customHeight="1"/>
    <row r="186" spans="1:26" ht="78" customHeight="1"/>
    <row r="187" spans="1:26" ht="78" customHeight="1"/>
    <row r="188" spans="1:26" ht="78" customHeight="1"/>
    <row r="189" spans="1:26" ht="78" customHeight="1"/>
    <row r="190" spans="1:26" ht="78" customHeight="1"/>
    <row r="191" spans="1:26" ht="78" customHeight="1"/>
    <row r="192" spans="1:26" ht="78" customHeight="1"/>
    <row r="193" spans="1:26" ht="78" customHeight="1"/>
    <row r="194" spans="1:26" ht="78" customHeight="1"/>
    <row r="195" spans="1:26" ht="78" customHeight="1"/>
    <row r="196" spans="1:26" ht="78" customHeight="1"/>
    <row r="197" spans="1:26" ht="78" customHeight="1"/>
    <row r="198" spans="1:26" ht="78" customHeight="1"/>
    <row r="199" spans="1:26" ht="78" customHeight="1"/>
    <row r="200" spans="1:26" ht="78" customHeight="1"/>
  </sheetData>
  <mergeCells count="2">
    <mergeCell ref="B2:B4"/>
    <mergeCell ref="B5:B11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2026-06-08T17:41:03Z</dcterms:created>
  <dcterms:modified xsi:type="dcterms:W3CDTF">2026-06-08T17:41:03Z</dcterms:modified>
</cp:coreProperties>
</file>